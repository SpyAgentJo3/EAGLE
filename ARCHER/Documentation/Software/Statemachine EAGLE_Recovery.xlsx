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Google Drive\Raketenbauteam\AG Elektronik\ARCHER\Documentation\"/>
    </mc:Choice>
  </mc:AlternateContent>
  <xr:revisionPtr revIDLastSave="0" documentId="13_ncr:1_{3C7B2536-8DC8-4D00-A5F2-6BC6F63FD924}" xr6:coauthVersionLast="47" xr6:coauthVersionMax="47" xr10:uidLastSave="{00000000-0000-0000-0000-000000000000}"/>
  <bookViews>
    <workbookView xWindow="28680" yWindow="-120" windowWidth="29040" windowHeight="15840" xr2:uid="{A2AB03E4-6015-4DE9-9805-267B942AEB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1" i="1"/>
  <c r="C12" i="1"/>
  <c r="C13" i="1"/>
  <c r="C14" i="1"/>
  <c r="C15" i="1"/>
  <c r="C16" i="1"/>
  <c r="C17" i="1"/>
  <c r="C18" i="1"/>
  <c r="C20" i="1"/>
  <c r="C21" i="1"/>
  <c r="C22" i="1"/>
  <c r="C23" i="1"/>
  <c r="C24" i="1"/>
  <c r="C25" i="1"/>
  <c r="C26" i="1"/>
  <c r="C27" i="1"/>
  <c r="C28" i="1"/>
  <c r="C29" i="1"/>
</calcChain>
</file>

<file path=xl/sharedStrings.xml><?xml version="1.0" encoding="utf-8"?>
<sst xmlns="http://schemas.openxmlformats.org/spreadsheetml/2006/main" count="279" uniqueCount="39">
  <si>
    <t>FLIGHT STATES</t>
  </si>
  <si>
    <t>-</t>
  </si>
  <si>
    <t>Landing detected</t>
  </si>
  <si>
    <t>Armed</t>
  </si>
  <si>
    <t>Abort</t>
  </si>
  <si>
    <t>Boost-phase</t>
  </si>
  <si>
    <t>Coasting</t>
  </si>
  <si>
    <t>Apogee</t>
  </si>
  <si>
    <t>Main deployment</t>
  </si>
  <si>
    <t>Sensors established</t>
  </si>
  <si>
    <t>Continuity</t>
  </si>
  <si>
    <t xml:space="preserve"> Pad Idle</t>
  </si>
  <si>
    <t>Liftoff detected</t>
  </si>
  <si>
    <t>Burnout detected</t>
  </si>
  <si>
    <t>Apogee detected</t>
  </si>
  <si>
    <t>Transition Description</t>
  </si>
  <si>
    <t>Transition trigger</t>
  </si>
  <si>
    <t>Outputs for transition</t>
  </si>
  <si>
    <t>Current state</t>
  </si>
  <si>
    <t>Next state</t>
  </si>
  <si>
    <t>Transition</t>
  </si>
  <si>
    <t>Cause</t>
  </si>
  <si>
    <t>No change</t>
  </si>
  <si>
    <t>Main deploy setpoint detected</t>
  </si>
  <si>
    <t>TRUE</t>
  </si>
  <si>
    <t>FALSE</t>
  </si>
  <si>
    <t>"-"</t>
  </si>
  <si>
    <t>either true or false.</t>
  </si>
  <si>
    <t>Initialisation complete</t>
  </si>
  <si>
    <t>Setup failed</t>
  </si>
  <si>
    <t>Initialized</t>
  </si>
  <si>
    <t>Armed signal</t>
  </si>
  <si>
    <t>No continuity</t>
  </si>
  <si>
    <t>Pyro 1</t>
  </si>
  <si>
    <t>Pyro 2</t>
  </si>
  <si>
    <t>Pyro 3</t>
  </si>
  <si>
    <t>Pyro 4</t>
  </si>
  <si>
    <t>RECOVERY STAGE TRANSISTIONS</t>
  </si>
  <si>
    <t>Landed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</si>
</sst>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4"/>
        <bgColor rgb="FF000000"/>
      </patternFill>
    </fill>
  </fills>
  <borders count="50"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3" fillId="4" borderId="22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3" fillId="4" borderId="23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37" xfId="0" applyFont="1" applyBorder="1" applyAlignment="1">
      <alignment horizontal="right"/>
    </xf>
    <xf numFmtId="0" fontId="2" fillId="0" borderId="38" xfId="0" applyFont="1" applyBorder="1"/>
    <xf numFmtId="0" fontId="2" fillId="0" borderId="26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0" fontId="3" fillId="4" borderId="43" xfId="0" applyFont="1" applyFill="1" applyBorder="1" applyAlignment="1">
      <alignment horizontal="center"/>
    </xf>
    <xf numFmtId="0" fontId="3" fillId="4" borderId="44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47" xfId="0" applyFont="1" applyFill="1" applyBorder="1" applyAlignment="1">
      <alignment horizontal="center"/>
    </xf>
    <xf numFmtId="0" fontId="3" fillId="4" borderId="48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4" borderId="49" xfId="0" applyFont="1" applyFill="1" applyBorder="1" applyAlignment="1">
      <alignment horizontal="left"/>
    </xf>
    <xf numFmtId="0" fontId="3" fillId="5" borderId="47" xfId="0" applyFont="1" applyFill="1" applyBorder="1" applyAlignment="1">
      <alignment horizontal="center"/>
    </xf>
  </cellXfs>
  <cellStyles count="1"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0DE8-3542-463F-BB58-365A92132F7F}">
  <dimension ref="A1:P31"/>
  <sheetViews>
    <sheetView tabSelected="1" workbookViewId="0">
      <selection activeCell="G24" sqref="G24"/>
    </sheetView>
  </sheetViews>
  <sheetFormatPr baseColWidth="10" defaultRowHeight="15" x14ac:dyDescent="0.25"/>
  <cols>
    <col min="1" max="1" width="12.5703125" bestFit="1" customWidth="1"/>
    <col min="2" max="2" width="12.140625" bestFit="1" customWidth="1"/>
    <col min="3" max="3" width="9.85546875" bestFit="1" customWidth="1"/>
    <col min="4" max="4" width="28.7109375" bestFit="1" customWidth="1"/>
    <col min="5" max="5" width="18.7109375" bestFit="1" customWidth="1"/>
    <col min="6" max="6" width="10.28515625" bestFit="1" customWidth="1"/>
    <col min="7" max="7" width="16.85546875" bestFit="1" customWidth="1"/>
    <col min="8" max="8" width="14.85546875" bestFit="1" customWidth="1"/>
    <col min="9" max="9" width="16.7109375" bestFit="1" customWidth="1"/>
    <col min="10" max="10" width="16.42578125" bestFit="1" customWidth="1"/>
    <col min="11" max="12" width="28.7109375" bestFit="1" customWidth="1"/>
    <col min="13" max="16" width="11.5703125" customWidth="1"/>
  </cols>
  <sheetData>
    <row r="1" spans="1:16" ht="16.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10"/>
    </row>
    <row r="2" spans="1:16" ht="15.75" customHeight="1" thickBot="1" x14ac:dyDescent="0.3">
      <c r="A2" s="11"/>
      <c r="B2" s="12"/>
      <c r="C2" s="12"/>
      <c r="D2" s="12"/>
      <c r="E2" s="12"/>
      <c r="F2" s="12"/>
      <c r="G2" s="12"/>
      <c r="H2" s="12"/>
      <c r="I2" s="13"/>
    </row>
    <row r="3" spans="1:16" x14ac:dyDescent="0.25">
      <c r="A3" s="38" t="s">
        <v>11</v>
      </c>
      <c r="B3" s="4" t="s">
        <v>30</v>
      </c>
      <c r="C3" s="5" t="s">
        <v>3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38</v>
      </c>
      <c r="I3" s="7" t="s">
        <v>4</v>
      </c>
    </row>
    <row r="4" spans="1:16" ht="15.75" thickBot="1" x14ac:dyDescent="0.3">
      <c r="A4" s="37">
        <v>0</v>
      </c>
      <c r="B4" s="1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3">
        <v>8</v>
      </c>
    </row>
    <row r="6" spans="1:16" ht="15.75" thickBot="1" x14ac:dyDescent="0.3"/>
    <row r="7" spans="1:16" ht="31.5" customHeight="1" x14ac:dyDescent="0.25">
      <c r="A7" s="22" t="s">
        <v>37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4"/>
    </row>
    <row r="8" spans="1:16" ht="15.75" thickBot="1" x14ac:dyDescent="0.3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ht="32.25" thickBot="1" x14ac:dyDescent="0.3">
      <c r="A9" s="19" t="s">
        <v>15</v>
      </c>
      <c r="B9" s="20"/>
      <c r="C9" s="20"/>
      <c r="D9" s="20"/>
      <c r="E9" s="19" t="s">
        <v>16</v>
      </c>
      <c r="F9" s="20"/>
      <c r="G9" s="20"/>
      <c r="H9" s="20"/>
      <c r="I9" s="20"/>
      <c r="J9" s="20"/>
      <c r="K9" s="20"/>
      <c r="L9" s="21"/>
      <c r="M9" s="19" t="s">
        <v>17</v>
      </c>
      <c r="N9" s="20"/>
      <c r="O9" s="20"/>
      <c r="P9" s="21"/>
    </row>
    <row r="10" spans="1:16" ht="15.75" thickBot="1" x14ac:dyDescent="0.3">
      <c r="A10" s="63" t="s">
        <v>18</v>
      </c>
      <c r="B10" s="52" t="s">
        <v>19</v>
      </c>
      <c r="C10" s="53" t="s">
        <v>20</v>
      </c>
      <c r="D10" s="14" t="s">
        <v>21</v>
      </c>
      <c r="E10" s="43" t="s">
        <v>9</v>
      </c>
      <c r="F10" s="44" t="s">
        <v>10</v>
      </c>
      <c r="G10" s="44" t="s">
        <v>3</v>
      </c>
      <c r="H10" s="44" t="s">
        <v>12</v>
      </c>
      <c r="I10" s="44" t="s">
        <v>13</v>
      </c>
      <c r="J10" s="44" t="s">
        <v>14</v>
      </c>
      <c r="K10" s="44" t="s">
        <v>23</v>
      </c>
      <c r="L10" s="45" t="s">
        <v>2</v>
      </c>
      <c r="M10" s="43" t="s">
        <v>33</v>
      </c>
      <c r="N10" s="44" t="s">
        <v>34</v>
      </c>
      <c r="O10" s="44" t="s">
        <v>35</v>
      </c>
      <c r="P10" s="45" t="s">
        <v>36</v>
      </c>
    </row>
    <row r="11" spans="1:16" x14ac:dyDescent="0.25">
      <c r="A11" s="55">
        <v>0</v>
      </c>
      <c r="B11" s="56">
        <v>1</v>
      </c>
      <c r="C11" s="55" t="str">
        <f>_xlfn.CONCAT(A11, " -&gt; ", B11)</f>
        <v>0 -&gt; 1</v>
      </c>
      <c r="D11" s="15" t="s">
        <v>28</v>
      </c>
      <c r="E11" s="46" t="s">
        <v>24</v>
      </c>
      <c r="F11" s="47" t="s">
        <v>24</v>
      </c>
      <c r="G11" s="47" t="s">
        <v>1</v>
      </c>
      <c r="H11" s="47" t="s">
        <v>1</v>
      </c>
      <c r="I11" s="47" t="s">
        <v>1</v>
      </c>
      <c r="J11" s="47" t="s">
        <v>1</v>
      </c>
      <c r="K11" s="47" t="s">
        <v>1</v>
      </c>
      <c r="L11" s="48" t="s">
        <v>1</v>
      </c>
      <c r="M11" s="46" t="s">
        <v>25</v>
      </c>
      <c r="N11" s="46" t="s">
        <v>25</v>
      </c>
      <c r="O11" s="46" t="s">
        <v>25</v>
      </c>
      <c r="P11" s="46" t="s">
        <v>25</v>
      </c>
    </row>
    <row r="12" spans="1:16" ht="15.75" thickBot="1" x14ac:dyDescent="0.3">
      <c r="A12" s="54">
        <v>0</v>
      </c>
      <c r="B12" s="57">
        <v>8</v>
      </c>
      <c r="C12" s="65" t="str">
        <f t="shared" ref="C12:C29" si="0">_xlfn.CONCAT(A12, " -&gt; ", B12)</f>
        <v>0 -&gt; 8</v>
      </c>
      <c r="D12" s="16" t="s">
        <v>29</v>
      </c>
      <c r="E12" s="49" t="s">
        <v>25</v>
      </c>
      <c r="F12" s="50" t="s">
        <v>25</v>
      </c>
      <c r="G12" s="50" t="s">
        <v>1</v>
      </c>
      <c r="H12" s="50" t="s">
        <v>1</v>
      </c>
      <c r="I12" s="50" t="s">
        <v>1</v>
      </c>
      <c r="J12" s="50" t="s">
        <v>1</v>
      </c>
      <c r="K12" s="50" t="s">
        <v>1</v>
      </c>
      <c r="L12" s="51" t="s">
        <v>1</v>
      </c>
      <c r="M12" s="49" t="s">
        <v>25</v>
      </c>
      <c r="N12" s="49" t="s">
        <v>25</v>
      </c>
      <c r="O12" s="49" t="s">
        <v>25</v>
      </c>
      <c r="P12" s="49" t="s">
        <v>25</v>
      </c>
    </row>
    <row r="13" spans="1:16" x14ac:dyDescent="0.25">
      <c r="A13" s="28">
        <v>1</v>
      </c>
      <c r="B13" s="58">
        <v>1</v>
      </c>
      <c r="C13" s="61" t="str">
        <f t="shared" si="0"/>
        <v>1 -&gt; 1</v>
      </c>
      <c r="D13" s="17" t="s">
        <v>22</v>
      </c>
      <c r="E13" s="31" t="s">
        <v>1</v>
      </c>
      <c r="F13" s="32" t="s">
        <v>24</v>
      </c>
      <c r="G13" s="32" t="s">
        <v>25</v>
      </c>
      <c r="H13" s="32" t="s">
        <v>1</v>
      </c>
      <c r="I13" s="32" t="s">
        <v>1</v>
      </c>
      <c r="J13" s="32" t="s">
        <v>1</v>
      </c>
      <c r="K13" s="32" t="s">
        <v>1</v>
      </c>
      <c r="L13" s="33" t="s">
        <v>1</v>
      </c>
      <c r="M13" s="46" t="s">
        <v>25</v>
      </c>
      <c r="N13" s="46" t="s">
        <v>25</v>
      </c>
      <c r="O13" s="46" t="s">
        <v>25</v>
      </c>
      <c r="P13" s="46" t="s">
        <v>25</v>
      </c>
    </row>
    <row r="14" spans="1:16" ht="15.75" thickBot="1" x14ac:dyDescent="0.3">
      <c r="A14" s="29">
        <v>1</v>
      </c>
      <c r="B14" s="59">
        <v>2</v>
      </c>
      <c r="C14" s="65" t="str">
        <f t="shared" si="0"/>
        <v>1 -&gt; 2</v>
      </c>
      <c r="D14" s="18" t="s">
        <v>31</v>
      </c>
      <c r="E14" s="49" t="s">
        <v>1</v>
      </c>
      <c r="F14" s="50" t="s">
        <v>24</v>
      </c>
      <c r="G14" s="50" t="s">
        <v>24</v>
      </c>
      <c r="H14" s="50" t="s">
        <v>1</v>
      </c>
      <c r="I14" s="50" t="s">
        <v>1</v>
      </c>
      <c r="J14" s="50" t="s">
        <v>1</v>
      </c>
      <c r="K14" s="50" t="s">
        <v>1</v>
      </c>
      <c r="L14" s="51" t="s">
        <v>1</v>
      </c>
      <c r="M14" s="49" t="s">
        <v>25</v>
      </c>
      <c r="N14" s="49" t="s">
        <v>25</v>
      </c>
      <c r="O14" s="49" t="s">
        <v>25</v>
      </c>
      <c r="P14" s="49" t="s">
        <v>25</v>
      </c>
    </row>
    <row r="15" spans="1:16" x14ac:dyDescent="0.25">
      <c r="A15" s="28">
        <v>1</v>
      </c>
      <c r="B15" s="58">
        <v>8</v>
      </c>
      <c r="C15" s="61" t="str">
        <f t="shared" si="0"/>
        <v>1 -&gt; 8</v>
      </c>
      <c r="D15" s="17" t="s">
        <v>32</v>
      </c>
      <c r="E15" s="31" t="s">
        <v>1</v>
      </c>
      <c r="F15" s="32" t="s">
        <v>25</v>
      </c>
      <c r="G15" s="32" t="s">
        <v>1</v>
      </c>
      <c r="H15" s="32" t="s">
        <v>1</v>
      </c>
      <c r="I15" s="32" t="s">
        <v>1</v>
      </c>
      <c r="J15" s="32" t="s">
        <v>1</v>
      </c>
      <c r="K15" s="32" t="s">
        <v>1</v>
      </c>
      <c r="L15" s="33" t="s">
        <v>1</v>
      </c>
      <c r="M15" s="46" t="s">
        <v>25</v>
      </c>
      <c r="N15" s="46" t="s">
        <v>25</v>
      </c>
      <c r="O15" s="46" t="s">
        <v>25</v>
      </c>
      <c r="P15" s="46" t="s">
        <v>25</v>
      </c>
    </row>
    <row r="16" spans="1:16" ht="15.75" thickBot="1" x14ac:dyDescent="0.3">
      <c r="A16" s="29">
        <v>2</v>
      </c>
      <c r="B16" s="59">
        <v>2</v>
      </c>
      <c r="C16" s="65" t="str">
        <f t="shared" si="0"/>
        <v>2 -&gt; 2</v>
      </c>
      <c r="D16" s="18" t="s">
        <v>22</v>
      </c>
      <c r="E16" s="49" t="s">
        <v>1</v>
      </c>
      <c r="F16" s="50" t="s">
        <v>24</v>
      </c>
      <c r="G16" s="50" t="s">
        <v>24</v>
      </c>
      <c r="H16" s="50" t="s">
        <v>1</v>
      </c>
      <c r="I16" s="50" t="s">
        <v>1</v>
      </c>
      <c r="J16" s="50" t="s">
        <v>1</v>
      </c>
      <c r="K16" s="50" t="s">
        <v>1</v>
      </c>
      <c r="L16" s="51" t="s">
        <v>1</v>
      </c>
      <c r="M16" s="49" t="s">
        <v>25</v>
      </c>
      <c r="N16" s="49" t="s">
        <v>25</v>
      </c>
      <c r="O16" s="49" t="s">
        <v>25</v>
      </c>
      <c r="P16" s="49" t="s">
        <v>25</v>
      </c>
    </row>
    <row r="17" spans="1:16" x14ac:dyDescent="0.25">
      <c r="A17" s="28">
        <v>2</v>
      </c>
      <c r="B17" s="58">
        <v>3</v>
      </c>
      <c r="C17" s="61" t="str">
        <f t="shared" si="0"/>
        <v>2 -&gt; 3</v>
      </c>
      <c r="D17" s="17" t="s">
        <v>12</v>
      </c>
      <c r="E17" s="31" t="s">
        <v>1</v>
      </c>
      <c r="F17" s="32" t="s">
        <v>1</v>
      </c>
      <c r="G17" s="32" t="s">
        <v>1</v>
      </c>
      <c r="H17" s="32" t="s">
        <v>24</v>
      </c>
      <c r="I17" s="32" t="s">
        <v>1</v>
      </c>
      <c r="J17" s="32" t="s">
        <v>1</v>
      </c>
      <c r="K17" s="32" t="s">
        <v>1</v>
      </c>
      <c r="L17" s="33" t="s">
        <v>1</v>
      </c>
      <c r="M17" s="46" t="s">
        <v>25</v>
      </c>
      <c r="N17" s="46" t="s">
        <v>25</v>
      </c>
      <c r="O17" s="46" t="s">
        <v>25</v>
      </c>
      <c r="P17" s="46" t="s">
        <v>25</v>
      </c>
    </row>
    <row r="18" spans="1:16" ht="15.75" thickBot="1" x14ac:dyDescent="0.3">
      <c r="A18" s="29">
        <v>2</v>
      </c>
      <c r="B18" s="59">
        <v>8</v>
      </c>
      <c r="C18" s="65" t="str">
        <f t="shared" si="0"/>
        <v>2 -&gt; 8</v>
      </c>
      <c r="D18" s="18" t="s">
        <v>32</v>
      </c>
      <c r="E18" s="49" t="s">
        <v>1</v>
      </c>
      <c r="F18" s="50" t="s">
        <v>25</v>
      </c>
      <c r="G18" s="50" t="s">
        <v>24</v>
      </c>
      <c r="H18" s="50" t="s">
        <v>1</v>
      </c>
      <c r="I18" s="50" t="s">
        <v>1</v>
      </c>
      <c r="J18" s="50" t="s">
        <v>1</v>
      </c>
      <c r="K18" s="50" t="s">
        <v>1</v>
      </c>
      <c r="L18" s="51" t="s">
        <v>1</v>
      </c>
      <c r="M18" s="49" t="s">
        <v>25</v>
      </c>
      <c r="N18" s="49" t="s">
        <v>25</v>
      </c>
      <c r="O18" s="49" t="s">
        <v>25</v>
      </c>
      <c r="P18" s="49" t="s">
        <v>25</v>
      </c>
    </row>
    <row r="19" spans="1:16" x14ac:dyDescent="0.25">
      <c r="A19" s="28">
        <v>3</v>
      </c>
      <c r="B19" s="58">
        <v>3</v>
      </c>
      <c r="C19" s="61" t="str">
        <f>_xlfn.CONCAT(A19, " -&gt; ", B19)</f>
        <v>3 -&gt; 3</v>
      </c>
      <c r="D19" s="17" t="s">
        <v>22</v>
      </c>
      <c r="E19" s="31" t="s">
        <v>1</v>
      </c>
      <c r="F19" s="32" t="s">
        <v>1</v>
      </c>
      <c r="G19" s="32" t="s">
        <v>1</v>
      </c>
      <c r="H19" s="32" t="s">
        <v>1</v>
      </c>
      <c r="I19" s="32" t="s">
        <v>25</v>
      </c>
      <c r="J19" s="32" t="s">
        <v>1</v>
      </c>
      <c r="K19" s="32" t="s">
        <v>1</v>
      </c>
      <c r="L19" s="33" t="s">
        <v>1</v>
      </c>
      <c r="M19" s="46" t="s">
        <v>25</v>
      </c>
      <c r="N19" s="46" t="s">
        <v>25</v>
      </c>
      <c r="O19" s="46" t="s">
        <v>25</v>
      </c>
      <c r="P19" s="46" t="s">
        <v>25</v>
      </c>
    </row>
    <row r="20" spans="1:16" x14ac:dyDescent="0.25">
      <c r="A20" s="29">
        <v>3</v>
      </c>
      <c r="B20" s="59">
        <v>4</v>
      </c>
      <c r="C20" s="65" t="str">
        <f t="shared" si="0"/>
        <v>3 -&gt; 4</v>
      </c>
      <c r="D20" s="18" t="s">
        <v>13</v>
      </c>
      <c r="E20" s="49" t="s">
        <v>1</v>
      </c>
      <c r="F20" s="50" t="s">
        <v>1</v>
      </c>
      <c r="G20" s="50" t="s">
        <v>1</v>
      </c>
      <c r="H20" s="50" t="s">
        <v>1</v>
      </c>
      <c r="I20" s="50" t="s">
        <v>24</v>
      </c>
      <c r="J20" s="50" t="s">
        <v>1</v>
      </c>
      <c r="K20" s="50" t="s">
        <v>1</v>
      </c>
      <c r="L20" s="51" t="s">
        <v>1</v>
      </c>
      <c r="M20" s="49" t="s">
        <v>25</v>
      </c>
      <c r="N20" s="49" t="s">
        <v>25</v>
      </c>
      <c r="O20" s="49" t="s">
        <v>25</v>
      </c>
      <c r="P20" s="49" t="s">
        <v>25</v>
      </c>
    </row>
    <row r="21" spans="1:16" x14ac:dyDescent="0.25">
      <c r="A21" s="28">
        <v>3</v>
      </c>
      <c r="B21" s="58">
        <v>5</v>
      </c>
      <c r="C21" s="61" t="str">
        <f t="shared" si="0"/>
        <v>3 -&gt; 5</v>
      </c>
      <c r="D21" s="17" t="s">
        <v>14</v>
      </c>
      <c r="E21" s="31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24</v>
      </c>
      <c r="K21" s="32" t="s">
        <v>25</v>
      </c>
      <c r="L21" s="33" t="s">
        <v>1</v>
      </c>
      <c r="M21" s="31" t="s">
        <v>24</v>
      </c>
      <c r="N21" s="32" t="s">
        <v>24</v>
      </c>
      <c r="O21" s="32" t="s">
        <v>25</v>
      </c>
      <c r="P21" s="33" t="s">
        <v>25</v>
      </c>
    </row>
    <row r="22" spans="1:16" x14ac:dyDescent="0.25">
      <c r="A22" s="29">
        <v>3</v>
      </c>
      <c r="B22" s="59">
        <v>6</v>
      </c>
      <c r="C22" s="65" t="str">
        <f t="shared" si="0"/>
        <v>3 -&gt; 6</v>
      </c>
      <c r="D22" s="18" t="s">
        <v>23</v>
      </c>
      <c r="E22" s="49" t="s">
        <v>1</v>
      </c>
      <c r="F22" s="50" t="s">
        <v>1</v>
      </c>
      <c r="G22" s="50" t="s">
        <v>1</v>
      </c>
      <c r="H22" s="50" t="s">
        <v>1</v>
      </c>
      <c r="I22" s="50" t="s">
        <v>1</v>
      </c>
      <c r="J22" s="50" t="s">
        <v>25</v>
      </c>
      <c r="K22" s="50" t="s">
        <v>24</v>
      </c>
      <c r="L22" s="51" t="s">
        <v>1</v>
      </c>
      <c r="M22" s="49" t="s">
        <v>24</v>
      </c>
      <c r="N22" s="50" t="s">
        <v>24</v>
      </c>
      <c r="O22" s="50" t="s">
        <v>24</v>
      </c>
      <c r="P22" s="51" t="s">
        <v>24</v>
      </c>
    </row>
    <row r="23" spans="1:16" x14ac:dyDescent="0.25">
      <c r="A23" s="28">
        <v>4</v>
      </c>
      <c r="B23" s="58">
        <v>4</v>
      </c>
      <c r="C23" s="61" t="str">
        <f t="shared" si="0"/>
        <v>4 -&gt; 4</v>
      </c>
      <c r="D23" s="17" t="s">
        <v>22</v>
      </c>
      <c r="E23" s="31" t="s">
        <v>1</v>
      </c>
      <c r="F23" s="32" t="s">
        <v>1</v>
      </c>
      <c r="G23" s="32" t="s">
        <v>1</v>
      </c>
      <c r="H23" s="32" t="s">
        <v>1</v>
      </c>
      <c r="I23" s="32" t="s">
        <v>1</v>
      </c>
      <c r="J23" s="32" t="s">
        <v>25</v>
      </c>
      <c r="K23" s="32" t="s">
        <v>1</v>
      </c>
      <c r="L23" s="33" t="s">
        <v>1</v>
      </c>
      <c r="M23" s="31" t="s">
        <v>25</v>
      </c>
      <c r="N23" s="31" t="s">
        <v>25</v>
      </c>
      <c r="O23" s="31" t="s">
        <v>25</v>
      </c>
      <c r="P23" s="31" t="s">
        <v>25</v>
      </c>
    </row>
    <row r="24" spans="1:16" x14ac:dyDescent="0.25">
      <c r="A24" s="29">
        <v>4</v>
      </c>
      <c r="B24" s="59">
        <v>5</v>
      </c>
      <c r="C24" s="65" t="str">
        <f t="shared" si="0"/>
        <v>4 -&gt; 5</v>
      </c>
      <c r="D24" s="18" t="s">
        <v>14</v>
      </c>
      <c r="E24" s="49" t="s">
        <v>1</v>
      </c>
      <c r="F24" s="50" t="s">
        <v>1</v>
      </c>
      <c r="G24" s="50" t="s">
        <v>1</v>
      </c>
      <c r="H24" s="50" t="s">
        <v>1</v>
      </c>
      <c r="I24" s="50" t="s">
        <v>1</v>
      </c>
      <c r="J24" s="50" t="s">
        <v>24</v>
      </c>
      <c r="K24" s="50" t="s">
        <v>1</v>
      </c>
      <c r="L24" s="51" t="s">
        <v>1</v>
      </c>
      <c r="M24" s="49" t="s">
        <v>24</v>
      </c>
      <c r="N24" s="50" t="s">
        <v>24</v>
      </c>
      <c r="O24" s="50" t="s">
        <v>25</v>
      </c>
      <c r="P24" s="51" t="s">
        <v>25</v>
      </c>
    </row>
    <row r="25" spans="1:16" x14ac:dyDescent="0.25">
      <c r="A25" s="28">
        <v>4</v>
      </c>
      <c r="B25" s="58">
        <v>6</v>
      </c>
      <c r="C25" s="61" t="str">
        <f t="shared" si="0"/>
        <v>4 -&gt; 6</v>
      </c>
      <c r="D25" s="17" t="s">
        <v>23</v>
      </c>
      <c r="E25" s="31" t="s">
        <v>1</v>
      </c>
      <c r="F25" s="32" t="s">
        <v>1</v>
      </c>
      <c r="G25" s="32" t="s">
        <v>1</v>
      </c>
      <c r="H25" s="32" t="s">
        <v>1</v>
      </c>
      <c r="I25" s="32" t="s">
        <v>1</v>
      </c>
      <c r="J25" s="32" t="s">
        <v>25</v>
      </c>
      <c r="K25" s="32" t="s">
        <v>24</v>
      </c>
      <c r="L25" s="33" t="s">
        <v>1</v>
      </c>
      <c r="M25" s="31" t="s">
        <v>25</v>
      </c>
      <c r="N25" s="32" t="s">
        <v>25</v>
      </c>
      <c r="O25" s="32" t="s">
        <v>24</v>
      </c>
      <c r="P25" s="33" t="s">
        <v>24</v>
      </c>
    </row>
    <row r="26" spans="1:16" ht="15.75" thickBot="1" x14ac:dyDescent="0.3">
      <c r="A26" s="29">
        <v>5</v>
      </c>
      <c r="B26" s="59">
        <v>5</v>
      </c>
      <c r="C26" s="65" t="str">
        <f t="shared" si="0"/>
        <v>5 -&gt; 5</v>
      </c>
      <c r="D26" s="18" t="s">
        <v>22</v>
      </c>
      <c r="E26" s="49" t="s">
        <v>1</v>
      </c>
      <c r="F26" s="50" t="s">
        <v>1</v>
      </c>
      <c r="G26" s="50" t="s">
        <v>1</v>
      </c>
      <c r="H26" s="50" t="s">
        <v>1</v>
      </c>
      <c r="I26" s="50" t="s">
        <v>1</v>
      </c>
      <c r="J26" s="50" t="s">
        <v>24</v>
      </c>
      <c r="K26" s="50" t="s">
        <v>25</v>
      </c>
      <c r="L26" s="51" t="s">
        <v>1</v>
      </c>
      <c r="M26" s="49" t="s">
        <v>25</v>
      </c>
      <c r="N26" s="49" t="s">
        <v>25</v>
      </c>
      <c r="O26" s="49" t="s">
        <v>25</v>
      </c>
      <c r="P26" s="49" t="s">
        <v>25</v>
      </c>
    </row>
    <row r="27" spans="1:16" x14ac:dyDescent="0.25">
      <c r="A27" s="28">
        <v>5</v>
      </c>
      <c r="B27" s="58">
        <v>6</v>
      </c>
      <c r="C27" s="61" t="str">
        <f t="shared" si="0"/>
        <v>5 -&gt; 6</v>
      </c>
      <c r="D27" s="17" t="s">
        <v>23</v>
      </c>
      <c r="E27" s="31" t="s">
        <v>1</v>
      </c>
      <c r="F27" s="32" t="s">
        <v>1</v>
      </c>
      <c r="G27" s="32" t="s">
        <v>1</v>
      </c>
      <c r="H27" s="32" t="s">
        <v>1</v>
      </c>
      <c r="I27" s="32" t="s">
        <v>1</v>
      </c>
      <c r="J27" s="32" t="s">
        <v>1</v>
      </c>
      <c r="K27" s="32" t="s">
        <v>24</v>
      </c>
      <c r="L27" s="33" t="s">
        <v>1</v>
      </c>
      <c r="M27" s="46" t="s">
        <v>25</v>
      </c>
      <c r="N27" s="46" t="s">
        <v>25</v>
      </c>
      <c r="O27" s="46" t="s">
        <v>25</v>
      </c>
      <c r="P27" s="46" t="s">
        <v>25</v>
      </c>
    </row>
    <row r="28" spans="1:16" ht="15.75" thickBot="1" x14ac:dyDescent="0.3">
      <c r="A28" s="29">
        <v>6</v>
      </c>
      <c r="B28" s="59">
        <v>6</v>
      </c>
      <c r="C28" s="65" t="str">
        <f t="shared" si="0"/>
        <v>6 -&gt; 6</v>
      </c>
      <c r="D28" s="18" t="s">
        <v>22</v>
      </c>
      <c r="E28" s="49" t="s">
        <v>1</v>
      </c>
      <c r="F28" s="50" t="s">
        <v>1</v>
      </c>
      <c r="G28" s="50" t="s">
        <v>1</v>
      </c>
      <c r="H28" s="50" t="s">
        <v>1</v>
      </c>
      <c r="I28" s="50" t="s">
        <v>1</v>
      </c>
      <c r="J28" s="50" t="s">
        <v>1</v>
      </c>
      <c r="K28" s="50" t="s">
        <v>1</v>
      </c>
      <c r="L28" s="51" t="s">
        <v>25</v>
      </c>
      <c r="M28" s="49" t="s">
        <v>25</v>
      </c>
      <c r="N28" s="49" t="s">
        <v>25</v>
      </c>
      <c r="O28" s="49" t="s">
        <v>25</v>
      </c>
      <c r="P28" s="49" t="s">
        <v>25</v>
      </c>
    </row>
    <row r="29" spans="1:16" ht="15.75" thickBot="1" x14ac:dyDescent="0.3">
      <c r="A29" s="30">
        <v>6</v>
      </c>
      <c r="B29" s="60">
        <v>7</v>
      </c>
      <c r="C29" s="62" t="str">
        <f t="shared" si="0"/>
        <v>6 -&gt; 7</v>
      </c>
      <c r="D29" s="64" t="s">
        <v>2</v>
      </c>
      <c r="E29" s="34" t="s">
        <v>1</v>
      </c>
      <c r="F29" s="35" t="s">
        <v>1</v>
      </c>
      <c r="G29" s="35" t="s">
        <v>1</v>
      </c>
      <c r="H29" s="35" t="s">
        <v>1</v>
      </c>
      <c r="I29" s="35" t="s">
        <v>1</v>
      </c>
      <c r="J29" s="35" t="s">
        <v>1</v>
      </c>
      <c r="K29" s="35" t="s">
        <v>1</v>
      </c>
      <c r="L29" s="36" t="s">
        <v>24</v>
      </c>
      <c r="M29" s="46" t="s">
        <v>25</v>
      </c>
      <c r="N29" s="46" t="s">
        <v>25</v>
      </c>
      <c r="O29" s="46" t="s">
        <v>25</v>
      </c>
      <c r="P29" s="46" t="s">
        <v>25</v>
      </c>
    </row>
    <row r="30" spans="1:16" ht="15.75" thickBot="1" x14ac:dyDescent="0.3"/>
    <row r="31" spans="1:16" ht="15.75" thickBot="1" x14ac:dyDescent="0.3">
      <c r="A31" s="39" t="s">
        <v>26</v>
      </c>
      <c r="B31" s="40"/>
      <c r="C31" s="41" t="s">
        <v>27</v>
      </c>
      <c r="D31" s="42"/>
    </row>
  </sheetData>
  <mergeCells count="7">
    <mergeCell ref="M9:P9"/>
    <mergeCell ref="A31:B31"/>
    <mergeCell ref="C31:D31"/>
    <mergeCell ref="A1:I2"/>
    <mergeCell ref="E9:L9"/>
    <mergeCell ref="A9:D9"/>
    <mergeCell ref="A7:P8"/>
  </mergeCells>
  <conditionalFormatting sqref="E11:P29">
    <cfRule type="containsText" dxfId="1" priority="1" operator="containsText" text="FALSE">
      <formula>NOT(ISERROR(SEARCH("FALSE",E11)))</formula>
    </cfRule>
    <cfRule type="containsText" dxfId="0" priority="2" operator="containsText" text="TRUE">
      <formula>NOT(ISERROR(SEARCH("TRUE",E11)))</formula>
    </cfRule>
  </conditionalFormatting>
  <dataValidations count="1">
    <dataValidation type="list" allowBlank="1" showInputMessage="1" showErrorMessage="1" sqref="E11:P29" xr:uid="{04EE6E40-0981-4D37-8078-CCE645B4B56E}">
      <formula1>"-,TRUE,FALSE"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Gläser</dc:creator>
  <cp:lastModifiedBy>Jason Gläser</cp:lastModifiedBy>
  <dcterms:created xsi:type="dcterms:W3CDTF">2026-08-30T14:45:36Z</dcterms:created>
  <dcterms:modified xsi:type="dcterms:W3CDTF">2026-08-30T17:06:53Z</dcterms:modified>
</cp:coreProperties>
</file>