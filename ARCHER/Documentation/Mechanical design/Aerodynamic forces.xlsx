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Google Drive\Raketenbauteam\AG Elektronik\ARCHER\Documentation\"/>
    </mc:Choice>
  </mc:AlternateContent>
  <xr:revisionPtr revIDLastSave="0" documentId="13_ncr:1_{66709ECB-84B3-4B4C-9820-0AB4AF65CDAA}" xr6:coauthVersionLast="47" xr6:coauthVersionMax="47" xr10:uidLastSave="{00000000-0000-0000-0000-000000000000}"/>
  <bookViews>
    <workbookView xWindow="-98" yWindow="-98" windowWidth="20715" windowHeight="13155" xr2:uid="{87CF44EF-C21B-4A21-996C-EDF212AE04A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M3" i="1"/>
  <c r="O3" i="1" s="1"/>
  <c r="G21" i="1" s="1"/>
  <c r="G3" i="1"/>
  <c r="E3" i="1"/>
  <c r="I9" i="1" l="1"/>
  <c r="L9" i="1" s="1"/>
  <c r="I14" i="1" s="1"/>
  <c r="L14" i="1" s="1"/>
  <c r="I3" i="1"/>
  <c r="A9" i="1" s="1"/>
  <c r="D9" i="1" s="1"/>
  <c r="A14" i="1" s="1"/>
  <c r="D14" i="1" s="1"/>
  <c r="P9" i="1" l="1"/>
  <c r="P15" i="1"/>
</calcChain>
</file>

<file path=xl/sharedStrings.xml><?xml version="1.0" encoding="utf-8"?>
<sst xmlns="http://schemas.openxmlformats.org/spreadsheetml/2006/main" count="46" uniqueCount="29">
  <si>
    <t>cw</t>
  </si>
  <si>
    <t>Luftdichte</t>
  </si>
  <si>
    <t>Flapfläche</t>
  </si>
  <si>
    <t>Rohrfläche</t>
  </si>
  <si>
    <t>Geschwindigkeit</t>
  </si>
  <si>
    <r>
      <rPr>
        <b/>
        <sz val="14"/>
        <color theme="1"/>
        <rFont val="Calibri"/>
        <family val="2"/>
        <scheme val="minor"/>
      </rPr>
      <t xml:space="preserve">Stellmoment </t>
    </r>
    <r>
      <rPr>
        <sz val="11"/>
        <color theme="1"/>
        <rFont val="Calibri"/>
        <family val="2"/>
        <scheme val="minor"/>
      </rPr>
      <t>(Servo)</t>
    </r>
  </si>
  <si>
    <t>[kg/m^3]</t>
  </si>
  <si>
    <t>[m^2]</t>
  </si>
  <si>
    <t>Gesamtfläche</t>
  </si>
  <si>
    <t>[km/h]</t>
  </si>
  <si>
    <t>[kg*cm]</t>
  </si>
  <si>
    <t>[Nm]</t>
  </si>
  <si>
    <t>[N/A]</t>
  </si>
  <si>
    <t>F_drag</t>
  </si>
  <si>
    <t>[N]</t>
  </si>
  <si>
    <t>[Mach NN]</t>
  </si>
  <si>
    <t>[m/s]</t>
  </si>
  <si>
    <t>Hebelarm</t>
  </si>
  <si>
    <t>[m]</t>
  </si>
  <si>
    <t>Force per fin</t>
  </si>
  <si>
    <t>Torque per Fin</t>
  </si>
  <si>
    <t>Torque Total</t>
  </si>
  <si>
    <t>This is worst case and assuming that all drag attacks on the fins</t>
  </si>
  <si>
    <t>This is only the force on the fins</t>
  </si>
  <si>
    <t>Can fly?</t>
  </si>
  <si>
    <t>Max time to apogee</t>
  </si>
  <si>
    <t>[s]</t>
  </si>
  <si>
    <t xml:space="preserve">Time in which we can actually
 influence flight path 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</si>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</sst>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B53C-FD2A-49BC-8B6F-7E02D9F9422A}">
  <dimension ref="A1:V25"/>
  <sheetViews>
    <sheetView tabSelected="1" topLeftCell="C1" workbookViewId="0">
      <selection activeCell="O7" sqref="O7"/>
    </sheetView>
  </sheetViews>
  <sheetFormatPr defaultColWidth="10.6640625" defaultRowHeight="14.25" x14ac:dyDescent="0.45"/>
  <sheetData>
    <row r="1" spans="1:22" ht="18.399999999999999" thickTop="1" x14ac:dyDescent="0.55000000000000004">
      <c r="A1" s="23" t="s">
        <v>0</v>
      </c>
      <c r="B1" s="23"/>
      <c r="C1" s="23" t="s">
        <v>1</v>
      </c>
      <c r="D1" s="28"/>
      <c r="E1" s="23" t="s">
        <v>2</v>
      </c>
      <c r="F1" s="23"/>
      <c r="G1" s="23" t="s">
        <v>3</v>
      </c>
      <c r="H1" s="23"/>
      <c r="I1" s="16" t="s">
        <v>8</v>
      </c>
      <c r="J1" s="24"/>
      <c r="K1" s="23" t="s">
        <v>4</v>
      </c>
      <c r="L1" s="23"/>
      <c r="M1" s="23" t="s">
        <v>4</v>
      </c>
      <c r="N1" s="23"/>
      <c r="O1" s="23" t="s">
        <v>4</v>
      </c>
      <c r="P1" s="23"/>
      <c r="Q1" s="22" t="s">
        <v>5</v>
      </c>
      <c r="R1" s="17"/>
      <c r="S1" s="22" t="s">
        <v>5</v>
      </c>
      <c r="T1" s="17"/>
      <c r="U1" s="16" t="s">
        <v>17</v>
      </c>
      <c r="V1" s="17"/>
    </row>
    <row r="2" spans="1:22" ht="18" x14ac:dyDescent="0.55000000000000004">
      <c r="A2" s="18" t="s">
        <v>12</v>
      </c>
      <c r="B2" s="26"/>
      <c r="C2" s="18" t="s">
        <v>6</v>
      </c>
      <c r="D2" s="25"/>
      <c r="E2" s="18" t="s">
        <v>7</v>
      </c>
      <c r="F2" s="26"/>
      <c r="G2" s="18" t="s">
        <v>7</v>
      </c>
      <c r="H2" s="26"/>
      <c r="I2" s="18" t="s">
        <v>7</v>
      </c>
      <c r="J2" s="26"/>
      <c r="K2" s="18" t="s">
        <v>15</v>
      </c>
      <c r="L2" s="19"/>
      <c r="M2" s="18" t="s">
        <v>9</v>
      </c>
      <c r="N2" s="19"/>
      <c r="O2" s="18" t="s">
        <v>16</v>
      </c>
      <c r="P2" s="19"/>
      <c r="Q2" s="18" t="s">
        <v>10</v>
      </c>
      <c r="R2" s="19"/>
      <c r="S2" s="18" t="s">
        <v>11</v>
      </c>
      <c r="T2" s="19"/>
      <c r="U2" s="18" t="s">
        <v>18</v>
      </c>
      <c r="V2" s="19"/>
    </row>
    <row r="3" spans="1:22" ht="14.65" thickBot="1" x14ac:dyDescent="0.5">
      <c r="A3" s="27">
        <v>0.35</v>
      </c>
      <c r="B3" s="27"/>
      <c r="C3" s="29">
        <v>1.1839999999999999</v>
      </c>
      <c r="D3" s="29"/>
      <c r="E3" s="27">
        <f>4*0.002699</f>
        <v>1.0796E-2</v>
      </c>
      <c r="F3" s="27"/>
      <c r="G3" s="27">
        <f>3.141*0.16^2</f>
        <v>8.0409599999999998E-2</v>
      </c>
      <c r="H3" s="27"/>
      <c r="I3" s="27">
        <f>E3+G3</f>
        <v>9.1205599999999998E-2</v>
      </c>
      <c r="J3" s="27"/>
      <c r="K3" s="20">
        <v>0.26</v>
      </c>
      <c r="L3" s="21"/>
      <c r="M3" s="20">
        <f>K3*1234.8</f>
        <v>321.048</v>
      </c>
      <c r="N3" s="21"/>
      <c r="O3" s="20">
        <f>M3/3.6</f>
        <v>89.179999999999993</v>
      </c>
      <c r="P3" s="21"/>
      <c r="Q3" s="20">
        <v>68</v>
      </c>
      <c r="R3" s="21"/>
      <c r="S3" s="20">
        <f>Q3*0.0980665</f>
        <v>6.6685220000000003</v>
      </c>
      <c r="T3" s="21"/>
      <c r="U3" s="20">
        <v>0.04</v>
      </c>
      <c r="V3" s="21"/>
    </row>
    <row r="4" spans="1:22" ht="14.65" thickTop="1" x14ac:dyDescent="0.45"/>
    <row r="6" spans="1:22" ht="14.65" thickBot="1" x14ac:dyDescent="0.5"/>
    <row r="7" spans="1:22" ht="18.399999999999999" thickTop="1" x14ac:dyDescent="0.55000000000000004">
      <c r="A7" s="10" t="s">
        <v>13</v>
      </c>
      <c r="B7" s="11"/>
      <c r="D7" s="10" t="s">
        <v>19</v>
      </c>
      <c r="E7" s="11"/>
      <c r="I7" s="10" t="s">
        <v>13</v>
      </c>
      <c r="J7" s="11"/>
      <c r="L7" s="10" t="s">
        <v>19</v>
      </c>
      <c r="M7" s="11"/>
      <c r="P7" s="3" t="s">
        <v>24</v>
      </c>
      <c r="Q7" s="4"/>
      <c r="R7" s="5"/>
    </row>
    <row r="8" spans="1:22" ht="14.65" thickBot="1" x14ac:dyDescent="0.5">
      <c r="A8" s="12" t="s">
        <v>14</v>
      </c>
      <c r="B8" s="13"/>
      <c r="D8" s="12" t="s">
        <v>14</v>
      </c>
      <c r="E8" s="13"/>
      <c r="I8" s="12" t="s">
        <v>14</v>
      </c>
      <c r="J8" s="13"/>
      <c r="L8" s="12" t="s">
        <v>14</v>
      </c>
      <c r="M8" s="13"/>
      <c r="P8" s="6"/>
      <c r="Q8" s="7"/>
      <c r="R8" s="8"/>
    </row>
    <row r="9" spans="1:22" ht="15" thickTop="1" thickBot="1" x14ac:dyDescent="0.5">
      <c r="A9" s="14">
        <f>(A3*I3*M3^2)/(2*C3)</f>
        <v>1389.4655663123126</v>
      </c>
      <c r="B9" s="15"/>
      <c r="D9" s="14">
        <f>A9/4</f>
        <v>347.36639157807815</v>
      </c>
      <c r="E9" s="15"/>
      <c r="I9" s="14">
        <f>(A3*E3*M3^2)/(2*C3)</f>
        <v>164.47093439336754</v>
      </c>
      <c r="J9" s="15"/>
      <c r="L9" s="14">
        <f>I9/4</f>
        <v>41.117733598341886</v>
      </c>
      <c r="M9" s="15"/>
      <c r="P9" s="9" t="str">
        <f xml:space="preserve"> IF(S3&gt;L14,"YES","NO")</f>
        <v>YES</v>
      </c>
      <c r="Q9" s="9"/>
      <c r="R9" s="9"/>
    </row>
    <row r="10" spans="1:22" ht="14.65" thickTop="1" x14ac:dyDescent="0.45">
      <c r="P10" s="9"/>
      <c r="Q10" s="9"/>
      <c r="R10" s="9"/>
    </row>
    <row r="11" spans="1:22" ht="14.65" thickBot="1" x14ac:dyDescent="0.5">
      <c r="P11" s="9"/>
      <c r="Q11" s="9"/>
      <c r="R11" s="9"/>
    </row>
    <row r="12" spans="1:22" ht="18.75" thickTop="1" thickBot="1" x14ac:dyDescent="0.6">
      <c r="A12" s="10" t="s">
        <v>20</v>
      </c>
      <c r="B12" s="11"/>
      <c r="D12" s="10" t="s">
        <v>21</v>
      </c>
      <c r="E12" s="11"/>
      <c r="I12" s="10" t="s">
        <v>20</v>
      </c>
      <c r="J12" s="11"/>
      <c r="L12" s="10" t="s">
        <v>21</v>
      </c>
      <c r="M12" s="11"/>
    </row>
    <row r="13" spans="1:22" ht="18.75" thickTop="1" thickBot="1" x14ac:dyDescent="0.6">
      <c r="A13" s="12" t="s">
        <v>11</v>
      </c>
      <c r="B13" s="13"/>
      <c r="D13" s="12" t="s">
        <v>11</v>
      </c>
      <c r="E13" s="13"/>
      <c r="I13" s="12" t="s">
        <v>11</v>
      </c>
      <c r="J13" s="13"/>
      <c r="L13" s="12" t="s">
        <v>11</v>
      </c>
      <c r="M13" s="13"/>
      <c r="P13" s="32" t="s">
        <v>28</v>
      </c>
      <c r="Q13" s="33"/>
      <c r="R13" s="34"/>
    </row>
    <row r="14" spans="1:22" ht="14.65" thickBot="1" x14ac:dyDescent="0.5">
      <c r="A14" s="14">
        <f>D9*U3</f>
        <v>13.894655663123126</v>
      </c>
      <c r="B14" s="15"/>
      <c r="D14" s="14">
        <f>A14*4</f>
        <v>55.578622652492506</v>
      </c>
      <c r="E14" s="15"/>
      <c r="I14" s="14">
        <f>L9*U3</f>
        <v>1.6447093439336755</v>
      </c>
      <c r="J14" s="15"/>
      <c r="L14" s="14">
        <f>I14*4</f>
        <v>6.5788373757347021</v>
      </c>
      <c r="M14" s="15"/>
      <c r="P14" s="35" t="s">
        <v>11</v>
      </c>
      <c r="Q14" s="36"/>
      <c r="R14" s="37"/>
    </row>
    <row r="15" spans="1:22" ht="15.75" customHeight="1" thickTop="1" thickBot="1" x14ac:dyDescent="0.7">
      <c r="A15" s="30" t="s">
        <v>22</v>
      </c>
      <c r="B15" s="30"/>
      <c r="C15" s="30"/>
      <c r="D15" s="30"/>
      <c r="E15" s="30"/>
      <c r="F15" s="30"/>
      <c r="G15" s="30"/>
      <c r="H15" s="1"/>
      <c r="I15" s="2" t="s">
        <v>23</v>
      </c>
      <c r="J15" s="2"/>
      <c r="K15" s="2"/>
      <c r="L15" s="2"/>
      <c r="M15" s="2"/>
      <c r="N15" s="1"/>
      <c r="O15" s="1"/>
      <c r="P15" s="38">
        <f>S3-L14</f>
        <v>8.9684624265298218E-2</v>
      </c>
      <c r="Q15" s="39"/>
      <c r="R15" s="40"/>
    </row>
    <row r="16" spans="1:22" ht="15" customHeight="1" thickTop="1" x14ac:dyDescent="0.65">
      <c r="A16" s="30"/>
      <c r="B16" s="30"/>
      <c r="C16" s="30"/>
      <c r="D16" s="30"/>
      <c r="E16" s="30"/>
      <c r="F16" s="30"/>
      <c r="G16" s="30"/>
      <c r="H16" s="1"/>
      <c r="I16" s="2"/>
      <c r="J16" s="2"/>
      <c r="K16" s="2"/>
      <c r="L16" s="2"/>
      <c r="M16" s="2"/>
      <c r="N16" s="1"/>
      <c r="O16" s="1"/>
    </row>
    <row r="18" spans="6:9" ht="14.65" thickBot="1" x14ac:dyDescent="0.5"/>
    <row r="19" spans="6:9" ht="18.399999999999999" thickTop="1" x14ac:dyDescent="0.55000000000000004">
      <c r="G19" s="10" t="s">
        <v>25</v>
      </c>
      <c r="H19" s="11"/>
    </row>
    <row r="20" spans="6:9" x14ac:dyDescent="0.45">
      <c r="G20" s="12" t="s">
        <v>26</v>
      </c>
      <c r="H20" s="13"/>
    </row>
    <row r="21" spans="6:9" ht="14.65" thickBot="1" x14ac:dyDescent="0.5">
      <c r="G21" s="14">
        <f>O3/9.81</f>
        <v>9.0907237512742096</v>
      </c>
      <c r="H21" s="15"/>
    </row>
    <row r="22" spans="6:9" ht="14.65" customHeight="1" thickTop="1" x14ac:dyDescent="0.45">
      <c r="F22" s="31" t="s">
        <v>27</v>
      </c>
      <c r="G22" s="31"/>
      <c r="H22" s="31"/>
      <c r="I22" s="31"/>
    </row>
    <row r="23" spans="6:9" x14ac:dyDescent="0.45">
      <c r="F23" s="31"/>
      <c r="G23" s="31"/>
      <c r="H23" s="31"/>
      <c r="I23" s="31"/>
    </row>
    <row r="24" spans="6:9" x14ac:dyDescent="0.45">
      <c r="F24" s="31"/>
      <c r="G24" s="31"/>
      <c r="H24" s="31"/>
      <c r="I24" s="31"/>
    </row>
    <row r="25" spans="6:9" x14ac:dyDescent="0.45">
      <c r="F25" s="31"/>
      <c r="G25" s="31"/>
      <c r="H25" s="31"/>
      <c r="I25" s="31"/>
    </row>
  </sheetData>
  <mergeCells count="68">
    <mergeCell ref="G19:H19"/>
    <mergeCell ref="G20:H20"/>
    <mergeCell ref="G21:H21"/>
    <mergeCell ref="F22:I25"/>
    <mergeCell ref="A1:B1"/>
    <mergeCell ref="A3:B3"/>
    <mergeCell ref="C1:D1"/>
    <mergeCell ref="C3:D3"/>
    <mergeCell ref="A2:B2"/>
    <mergeCell ref="A9:B9"/>
    <mergeCell ref="S1:T1"/>
    <mergeCell ref="S2:T2"/>
    <mergeCell ref="S3:T3"/>
    <mergeCell ref="K1:L1"/>
    <mergeCell ref="K2:L2"/>
    <mergeCell ref="K3:L3"/>
    <mergeCell ref="Q2:R2"/>
    <mergeCell ref="Q3:R3"/>
    <mergeCell ref="I1:J1"/>
    <mergeCell ref="O1:P1"/>
    <mergeCell ref="O2:P2"/>
    <mergeCell ref="O3:P3"/>
    <mergeCell ref="Q1:R1"/>
    <mergeCell ref="M3:N3"/>
    <mergeCell ref="C2:D2"/>
    <mergeCell ref="U1:V1"/>
    <mergeCell ref="U2:V2"/>
    <mergeCell ref="U3:V3"/>
    <mergeCell ref="D7:E7"/>
    <mergeCell ref="D8:E8"/>
    <mergeCell ref="E2:F2"/>
    <mergeCell ref="G2:H2"/>
    <mergeCell ref="I2:J2"/>
    <mergeCell ref="M2:N2"/>
    <mergeCell ref="E1:F1"/>
    <mergeCell ref="E3:F3"/>
    <mergeCell ref="G1:H1"/>
    <mergeCell ref="G3:H3"/>
    <mergeCell ref="M1:N1"/>
    <mergeCell ref="I3:J3"/>
    <mergeCell ref="A15:G16"/>
    <mergeCell ref="I7:J7"/>
    <mergeCell ref="L7:M7"/>
    <mergeCell ref="I8:J8"/>
    <mergeCell ref="L8:M8"/>
    <mergeCell ref="I9:J9"/>
    <mergeCell ref="L9:M9"/>
    <mergeCell ref="A12:B12"/>
    <mergeCell ref="A13:B13"/>
    <mergeCell ref="A14:B14"/>
    <mergeCell ref="D12:E12"/>
    <mergeCell ref="D13:E13"/>
    <mergeCell ref="D14:E14"/>
    <mergeCell ref="D9:E9"/>
    <mergeCell ref="A7:B7"/>
    <mergeCell ref="A8:B8"/>
    <mergeCell ref="I15:M16"/>
    <mergeCell ref="P7:R8"/>
    <mergeCell ref="P9:R11"/>
    <mergeCell ref="I12:J12"/>
    <mergeCell ref="L12:M12"/>
    <mergeCell ref="I13:J13"/>
    <mergeCell ref="L13:M13"/>
    <mergeCell ref="I14:J14"/>
    <mergeCell ref="L14:M14"/>
    <mergeCell ref="P13:R13"/>
    <mergeCell ref="P14:R14"/>
    <mergeCell ref="P15:R15"/>
  </mergeCells>
  <conditionalFormatting sqref="P9:R11">
    <cfRule type="expression" dxfId="1" priority="1">
      <formula>$L$14&gt;$S$3</formula>
    </cfRule>
    <cfRule type="expression" dxfId="0" priority="2">
      <formula>$S$3&gt;$L$14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Gläser</dc:creator>
  <cp:lastModifiedBy>Jason Gläser</cp:lastModifiedBy>
  <dcterms:created xsi:type="dcterms:W3CDTF">2026-01-17T13:14:52Z</dcterms:created>
  <dcterms:modified xsi:type="dcterms:W3CDTF">2026-01-18T20:15:34Z</dcterms:modified>
</cp:coreProperties>
</file>